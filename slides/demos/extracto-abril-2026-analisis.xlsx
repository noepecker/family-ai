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vimientos" sheetId="1" state="visible" r:id="rId3"/>
    <sheet name="Resumen por categoría" sheetId="2" state="visible" r:id="rId4"/>
    <sheet name="Ingresos vs Gastos" sheetId="3" state="visible" r:id="rId5"/>
    <sheet name="Conclusion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<sst xmlns="http://schemas.openxmlformats.org/spreadsheetml/2006/main" count="171" uniqueCount="88">
  <si>
    <t xml:space="preserve">Fecha</t>
  </si>
  <si>
    <t xml:space="preserve">Comercio</t>
  </si>
  <si>
    <t xml:space="preserve">Categoría</t>
  </si>
  <si>
    <t xml:space="preserve">Tipo</t>
  </si>
  <si>
    <t xml:space="preserve">Importe</t>
  </si>
  <si>
    <t xml:space="preserve">Saldo</t>
  </si>
  <si>
    <t xml:space="preserve">Pastelería La Mallorquina</t>
  </si>
  <si>
    <t xml:space="preserve">Comida fuera</t>
  </si>
  <si>
    <t xml:space="preserve">compra</t>
  </si>
  <si>
    <t xml:space="preserve">Mercadona</t>
  </si>
  <si>
    <t xml:space="preserve">Supermercado</t>
  </si>
  <si>
    <t xml:space="preserve">Movistar España</t>
  </si>
  <si>
    <t xml:space="preserve">Hogar (suministros)</t>
  </si>
  <si>
    <t xml:space="preserve">Ana García López</t>
  </si>
  <si>
    <t xml:space="preserve">Transferencias personales</t>
  </si>
  <si>
    <t xml:space="preserve">transferencia entrada</t>
  </si>
  <si>
    <t xml:space="preserve">Disney Plus</t>
  </si>
  <si>
    <t xml:space="preserve">Suscripciones</t>
  </si>
  <si>
    <t xml:space="preserve">suscripción</t>
  </si>
  <si>
    <t xml:space="preserve">Decathlon Alcobendas</t>
  </si>
  <si>
    <t xml:space="preserve">Ocio</t>
  </si>
  <si>
    <t xml:space="preserve">Apple.com/Bill</t>
  </si>
  <si>
    <t xml:space="preserve">Restaurante Botín</t>
  </si>
  <si>
    <t xml:space="preserve">Cepsa Av. de la Vega</t>
  </si>
  <si>
    <t xml:space="preserve">Combustible</t>
  </si>
  <si>
    <t xml:space="preserve">Carrefour Express</t>
  </si>
  <si>
    <t xml:space="preserve">Ignacio Martín Ruiz</t>
  </si>
  <si>
    <t xml:space="preserve">transferencia salida</t>
  </si>
  <si>
    <t xml:space="preserve">Saba Aparcamientos</t>
  </si>
  <si>
    <t xml:space="preserve">Transporte</t>
  </si>
  <si>
    <t xml:space="preserve">Canal de Isabel II</t>
  </si>
  <si>
    <t xml:space="preserve">Glovo (McDonald's)</t>
  </si>
  <si>
    <t xml:space="preserve">AliExpress</t>
  </si>
  <si>
    <t xml:space="preserve">Otros</t>
  </si>
  <si>
    <t xml:space="preserve">Bar El Rincón</t>
  </si>
  <si>
    <t xml:space="preserve">Uber</t>
  </si>
  <si>
    <t xml:space="preserve">Carlos Rodríguez Sánchez</t>
  </si>
  <si>
    <t xml:space="preserve">Alquiler</t>
  </si>
  <si>
    <t xml:space="preserve">Lidl España</t>
  </si>
  <si>
    <t xml:space="preserve">Día Supermercado</t>
  </si>
  <si>
    <t xml:space="preserve">Cepsa Pozuelo</t>
  </si>
  <si>
    <t xml:space="preserve">Basic-Fit España</t>
  </si>
  <si>
    <t xml:space="preserve">Amazon EU</t>
  </si>
  <si>
    <t xml:space="preserve">Cafetería El Vagón</t>
  </si>
  <si>
    <t xml:space="preserve">Carrefour Hiper</t>
  </si>
  <si>
    <t xml:space="preserve">Iberdrola</t>
  </si>
  <si>
    <t xml:space="preserve">Zara Hombre</t>
  </si>
  <si>
    <t xml:space="preserve">Ropa</t>
  </si>
  <si>
    <t xml:space="preserve">Netflix</t>
  </si>
  <si>
    <t xml:space="preserve">Farmacia Cruz Verde</t>
  </si>
  <si>
    <t xml:space="preserve">Salud</t>
  </si>
  <si>
    <t xml:space="preserve">Pedro Gómez Álvarez</t>
  </si>
  <si>
    <t xml:space="preserve">Glovo</t>
  </si>
  <si>
    <t xml:space="preserve">Yelmo Cines Plenilunio</t>
  </si>
  <si>
    <t xml:space="preserve">Repsol San Chinarro</t>
  </si>
  <si>
    <t xml:space="preserve">Laertes Tech Soluciones SL</t>
  </si>
  <si>
    <t xml:space="preserve">nómina</t>
  </si>
  <si>
    <t xml:space="preserve">Amazon Prime</t>
  </si>
  <si>
    <t xml:space="preserve">Spotify</t>
  </si>
  <si>
    <t xml:space="preserve">Resumen de gasto por categoría — Abril 2026</t>
  </si>
  <si>
    <t xml:space="preserve">Total Gastado</t>
  </si>
  <si>
    <t xml:space="preserve">Nº Operaciones</t>
  </si>
  <si>
    <t xml:space="preserve">Importe Medio</t>
  </si>
  <si>
    <t xml:space="preserve">% del Gasto Total</t>
  </si>
  <si>
    <t xml:space="preserve">TOTAL</t>
  </si>
  <si>
    <t xml:space="preserve">Ingresos vs Gastos — Abril 2026</t>
  </si>
  <si>
    <t xml:space="preserve">Total ingresos del mes</t>
  </si>
  <si>
    <t xml:space="preserve">Total gastos del mes</t>
  </si>
  <si>
    <t xml:space="preserve">Ahorro neto</t>
  </si>
  <si>
    <t xml:space="preserve">Ratio ahorro / ingresos</t>
  </si>
  <si>
    <t xml:space="preserve">Conclusiones — Abril 2026</t>
  </si>
  <si>
    <t xml:space="preserve">Categoría con MAYOR gasto</t>
  </si>
  <si>
    <t xml:space="preserve">Importe en esa categoría</t>
  </si>
  <si>
    <t xml:space="preserve">Peso sobre el gasto total</t>
  </si>
  <si>
    <t xml:space="preserve">Resumen</t>
  </si>
  <si>
    <t xml:space="preserve">Consejo accionable</t>
  </si>
  <si>
    <t xml:space="preserve">Nº de suscripciones activas</t>
  </si>
  <si>
    <t xml:space="preserve">Gasto total en suscripciones</t>
  </si>
  <si>
    <t xml:space="preserve">Gasto en comida fuera</t>
  </si>
  <si>
    <t xml:space="preserve">Proyección anual (si abril es un mes representativo)</t>
  </si>
  <si>
    <t xml:space="preserve">Nómina mensual</t>
  </si>
  <si>
    <t xml:space="preserve">Ahorro neto mensual (real)</t>
  </si>
  <si>
    <t xml:space="preserve">Ahorro anual proyectado (×12)</t>
  </si>
  <si>
    <t xml:space="preserve">Objetivo: 20% de la nómina mensual</t>
  </si>
  <si>
    <t xml:space="preserve">Objetivo anual (20% × nómina × 12)</t>
  </si>
  <si>
    <t xml:space="preserve">Diferencia anual frente al objetivo</t>
  </si>
  <si>
    <t xml:space="preserve">Ratio de ahorro actual vs 20%</t>
  </si>
  <si>
    <t xml:space="preserve">Veredicto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</si>
</sst>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/mm/yyyy"/>
    <numFmt numFmtId="166" formatCode="#,##0.00&quot; €&quot;;[RED]\-#,##0.00&quot; €&quot;"/>
    <numFmt numFmtId="167" formatCode="#,##0.00&quot; €&quot;"/>
    <numFmt numFmtId="168" formatCode="0"/>
    <numFmt numFmtId="169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305496"/>
        <bgColor rgb="FF4672A8"/>
      </patternFill>
    </fill>
    <fill>
      <patternFill patternType="solid">
        <fgColor rgb="FFD9E1F2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0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0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7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6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A64F"/>
      <rgbColor rgb="FF800080"/>
      <rgbColor rgb="FF008080"/>
      <rgbColor rgb="FFBFBFBF"/>
      <rgbColor rgb="FF4F81BD"/>
      <rgbColor rgb="FF93A9CE"/>
      <rgbColor rgb="FFAB4744"/>
      <rgbColor rgb="FFFFFFCC"/>
      <rgbColor rgb="FFD9E1F2"/>
      <rgbColor rgb="FF660066"/>
      <rgbColor rgb="FFDC853E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8CD97"/>
      <rgbColor rgb="FFFFFF99"/>
      <rgbColor rgb="FF92C3D5"/>
      <rgbColor rgb="FFD09493"/>
      <rgbColor rgb="FFCC99FF"/>
      <rgbColor rgb="FFF8B590"/>
      <rgbColor rgb="FF4672A8"/>
      <rgbColor rgb="FF33CCCC"/>
      <rgbColor rgb="FF99CC00"/>
      <rgbColor rgb="FFFFCC00"/>
      <rgbColor rgb="FFFF9900"/>
      <rgbColor rgb="FFFF6600"/>
      <rgbColor rgb="FF725990"/>
      <rgbColor rgb="FFA99BBD"/>
      <rgbColor rgb="FF1F3864"/>
      <rgbColor rgb="FF4299B0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Reparto del gasto por categoría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'Resumen por categoría'!B3</c:f>
              <c:strCache>
                <c:ptCount val="1"/>
                <c:pt idx="0">
                  <c:v>Total Gastado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672a8"/>
              </a:solidFill>
              <a:ln w="0">
                <a:noFill/>
              </a:ln>
            </c:spPr>
          </c:dPt>
          <c:dPt>
            <c:idx val="1"/>
            <c:spPr>
              <a:solidFill>
                <a:srgbClr val="ab4744"/>
              </a:solidFill>
              <a:ln w="0">
                <a:noFill/>
              </a:ln>
            </c:spPr>
          </c:dPt>
          <c:dPt>
            <c:idx val="2"/>
            <c:spPr>
              <a:solidFill>
                <a:srgbClr val="8aa64f"/>
              </a:solidFill>
              <a:ln w="0">
                <a:noFill/>
              </a:ln>
            </c:spPr>
          </c:dPt>
          <c:dPt>
            <c:idx val="3"/>
            <c:spPr>
              <a:solidFill>
                <a:srgbClr val="72599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299b0"/>
              </a:solidFill>
              <a:ln w="0">
                <a:noFill/>
              </a:ln>
            </c:spPr>
          </c:dPt>
          <c:dPt>
            <c:idx val="5"/>
            <c:spPr>
              <a:solidFill>
                <a:srgbClr val="dc853e"/>
              </a:solidFill>
              <a:ln w="0">
                <a:noFill/>
              </a:ln>
            </c:spPr>
          </c:dPt>
          <c:dPt>
            <c:idx val="6"/>
            <c:spPr>
              <a:solidFill>
                <a:srgbClr val="93a9ce"/>
              </a:solidFill>
              <a:ln w="0">
                <a:noFill/>
              </a:ln>
            </c:spPr>
          </c:dPt>
          <c:dPt>
            <c:idx val="7"/>
            <c:spPr>
              <a:solidFill>
                <a:srgbClr val="d09493"/>
              </a:solidFill>
              <a:ln w="0">
                <a:noFill/>
              </a:ln>
            </c:spPr>
          </c:dPt>
          <c:dPt>
            <c:idx val="8"/>
            <c:spPr>
              <a:solidFill>
                <a:srgbClr val="b8cd97"/>
              </a:solidFill>
              <a:ln w="0">
                <a:noFill/>
              </a:ln>
            </c:spPr>
          </c:dPt>
          <c:dPt>
            <c:idx val="9"/>
            <c:spPr>
              <a:solidFill>
                <a:srgbClr val="a99bbd"/>
              </a:solidFill>
              <a:ln w="0">
                <a:noFill/>
              </a:ln>
            </c:spPr>
          </c:dPt>
          <c:dPt>
            <c:idx val="10"/>
            <c:spPr>
              <a:solidFill>
                <a:srgbClr val="92c3d5"/>
              </a:solidFill>
              <a:ln w="0">
                <a:noFill/>
              </a:ln>
            </c:spPr>
          </c:dPt>
          <c:dPt>
            <c:idx val="11"/>
            <c:spPr>
              <a:solidFill>
                <a:srgbClr val="f8b590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7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8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9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'Resumen por categoría'!$A$4:$A$15</c:f>
              <c:strCache>
                <c:ptCount val="12"/>
                <c:pt idx="0">
                  <c:v>Alquiler</c:v>
                </c:pt>
                <c:pt idx="1">
                  <c:v>Supermercado</c:v>
                </c:pt>
                <c:pt idx="2">
                  <c:v>Combustible</c:v>
                </c:pt>
                <c:pt idx="3">
                  <c:v>Hogar (suministros)</c:v>
                </c:pt>
                <c:pt idx="4">
                  <c:v>Comida fuera</c:v>
                </c:pt>
                <c:pt idx="5">
                  <c:v>Suscripciones</c:v>
                </c:pt>
                <c:pt idx="6">
                  <c:v>Ocio</c:v>
                </c:pt>
                <c:pt idx="7">
                  <c:v>Transferencias personales</c:v>
                </c:pt>
                <c:pt idx="8">
                  <c:v>Otros</c:v>
                </c:pt>
                <c:pt idx="9">
                  <c:v>Ropa</c:v>
                </c:pt>
                <c:pt idx="10">
                  <c:v>Transporte</c:v>
                </c:pt>
                <c:pt idx="11">
                  <c:v>Salud</c:v>
                </c:pt>
              </c:strCache>
            </c:strRef>
          </c:cat>
          <c:val>
            <c:numRef>
              <c:f>'Resumen por categoría'!$B$4:$B$15</c:f>
              <c:numCache>
                <c:formatCode>#,##0.00" €"</c:formatCode>
                <c:ptCount val="12"/>
                <c:pt idx="0">
                  <c:v>750</c:v>
                </c:pt>
                <c:pt idx="1">
                  <c:v>469.54</c:v>
                </c:pt>
                <c:pt idx="2">
                  <c:v>186.7</c:v>
                </c:pt>
                <c:pt idx="3">
                  <c:v>160.45</c:v>
                </c:pt>
                <c:pt idx="4">
                  <c:v>153.3</c:v>
                </c:pt>
                <c:pt idx="5">
                  <c:v>127.86</c:v>
                </c:pt>
                <c:pt idx="6">
                  <c:v>98.49</c:v>
                </c:pt>
                <c:pt idx="7">
                  <c:v>77</c:v>
                </c:pt>
                <c:pt idx="8">
                  <c:v>30.4</c:v>
                </c:pt>
                <c:pt idx="9">
                  <c:v>29.99</c:v>
                </c:pt>
                <c:pt idx="10">
                  <c:v>21.47</c:v>
                </c:pt>
                <c:pt idx="11">
                  <c:v>12.8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160560</xdr:rowOff>
    </xdr:from>
    <xdr:to>
      <xdr:col>16</xdr:col>
      <xdr:colOff>364680</xdr:colOff>
      <xdr:row>22</xdr:row>
      <xdr:rowOff>33840</xdr:rowOff>
    </xdr:to>
    <xdr:graphicFrame>
      <xdr:nvGraphicFramePr>
        <xdr:cNvPr id="0" name="Chart 1"/>
        <xdr:cNvGraphicFramePr/>
      </xdr:nvGraphicFramePr>
      <xdr:xfrm>
        <a:off x="7237080" y="380880"/>
        <a:ext cx="647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2"/>
    <col collapsed="false" customWidth="true" hidden="false" outlineLevel="0" max="3" min="3" style="0" width="26"/>
    <col collapsed="false" customWidth="true" hidden="false" outlineLevel="0" max="4" min="4" style="0" width="24"/>
    <col collapsed="false" customWidth="true" hidden="false" outlineLevel="0" max="6" min="5" style="0" width="14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n">
        <v>46142</v>
      </c>
      <c r="B2" s="3" t="s">
        <v>6</v>
      </c>
      <c r="C2" s="3" t="s">
        <v>7</v>
      </c>
      <c r="D2" s="3" t="s">
        <v>8</v>
      </c>
      <c r="E2" s="4" t="n">
        <v>-3.2</v>
      </c>
      <c r="F2" s="4" t="n">
        <v>982</v>
      </c>
    </row>
    <row r="3" customFormat="false" ht="15" hidden="false" customHeight="false" outlineLevel="0" collapsed="false">
      <c r="A3" s="2" t="n">
        <v>46142</v>
      </c>
      <c r="B3" s="3" t="s">
        <v>9</v>
      </c>
      <c r="C3" s="3" t="s">
        <v>10</v>
      </c>
      <c r="D3" s="3" t="s">
        <v>8</v>
      </c>
      <c r="E3" s="4" t="n">
        <v>-55.2</v>
      </c>
      <c r="F3" s="4" t="n">
        <v>985.2</v>
      </c>
    </row>
    <row r="4" customFormat="false" ht="15" hidden="false" customHeight="false" outlineLevel="0" collapsed="false">
      <c r="A4" s="2" t="n">
        <v>46141</v>
      </c>
      <c r="B4" s="3" t="s">
        <v>11</v>
      </c>
      <c r="C4" s="3" t="s">
        <v>12</v>
      </c>
      <c r="D4" s="3" t="s">
        <v>8</v>
      </c>
      <c r="E4" s="4" t="n">
        <v>-49.9</v>
      </c>
      <c r="F4" s="4" t="n">
        <v>1040.4</v>
      </c>
    </row>
    <row r="5" customFormat="false" ht="15" hidden="false" customHeight="false" outlineLevel="0" collapsed="false">
      <c r="A5" s="2" t="n">
        <v>46140</v>
      </c>
      <c r="B5" s="3" t="s">
        <v>13</v>
      </c>
      <c r="C5" s="3" t="s">
        <v>14</v>
      </c>
      <c r="D5" s="3" t="s">
        <v>15</v>
      </c>
      <c r="E5" s="4" t="n">
        <v>100</v>
      </c>
      <c r="F5" s="4" t="n">
        <v>1090.3</v>
      </c>
    </row>
    <row r="6" customFormat="false" ht="15" hidden="false" customHeight="false" outlineLevel="0" collapsed="false">
      <c r="A6" s="2" t="n">
        <v>46139</v>
      </c>
      <c r="B6" s="3" t="s">
        <v>9</v>
      </c>
      <c r="C6" s="3" t="s">
        <v>10</v>
      </c>
      <c r="D6" s="3" t="s">
        <v>8</v>
      </c>
      <c r="E6" s="4" t="n">
        <v>-64.3</v>
      </c>
      <c r="F6" s="4" t="n">
        <v>990.3</v>
      </c>
    </row>
    <row r="7" customFormat="false" ht="15" hidden="false" customHeight="false" outlineLevel="0" collapsed="false">
      <c r="A7" s="2" t="n">
        <v>46138</v>
      </c>
      <c r="B7" s="3" t="s">
        <v>16</v>
      </c>
      <c r="C7" s="3" t="s">
        <v>17</v>
      </c>
      <c r="D7" s="3" t="s">
        <v>18</v>
      </c>
      <c r="E7" s="4" t="n">
        <v>-8.99</v>
      </c>
      <c r="F7" s="4" t="n">
        <v>1054.6</v>
      </c>
    </row>
    <row r="8" customFormat="false" ht="15" hidden="false" customHeight="false" outlineLevel="0" collapsed="false">
      <c r="A8" s="2" t="n">
        <v>46138</v>
      </c>
      <c r="B8" s="3" t="s">
        <v>19</v>
      </c>
      <c r="C8" s="3" t="s">
        <v>20</v>
      </c>
      <c r="D8" s="3" t="s">
        <v>8</v>
      </c>
      <c r="E8" s="4" t="n">
        <v>-79.99</v>
      </c>
      <c r="F8" s="4" t="n">
        <v>1063.59</v>
      </c>
    </row>
    <row r="9" customFormat="false" ht="15" hidden="false" customHeight="false" outlineLevel="0" collapsed="false">
      <c r="A9" s="2" t="n">
        <v>46137</v>
      </c>
      <c r="B9" s="3" t="s">
        <v>21</v>
      </c>
      <c r="C9" s="3" t="s">
        <v>17</v>
      </c>
      <c r="D9" s="3" t="s">
        <v>18</v>
      </c>
      <c r="E9" s="4" t="n">
        <v>-2.99</v>
      </c>
      <c r="F9" s="4" t="n">
        <v>1143.58</v>
      </c>
    </row>
    <row r="10" customFormat="false" ht="15" hidden="false" customHeight="false" outlineLevel="0" collapsed="false">
      <c r="A10" s="2" t="n">
        <v>46136</v>
      </c>
      <c r="B10" s="3" t="s">
        <v>22</v>
      </c>
      <c r="C10" s="3" t="s">
        <v>7</v>
      </c>
      <c r="D10" s="3" t="s">
        <v>8</v>
      </c>
      <c r="E10" s="4" t="n">
        <v>-89.5</v>
      </c>
      <c r="F10" s="4" t="n">
        <v>1146.57</v>
      </c>
    </row>
    <row r="11" customFormat="false" ht="15" hidden="false" customHeight="false" outlineLevel="0" collapsed="false">
      <c r="A11" s="2" t="n">
        <v>46135</v>
      </c>
      <c r="B11" s="3" t="s">
        <v>23</v>
      </c>
      <c r="C11" s="3" t="s">
        <v>24</v>
      </c>
      <c r="D11" s="3" t="s">
        <v>8</v>
      </c>
      <c r="E11" s="4" t="n">
        <v>-62.8</v>
      </c>
      <c r="F11" s="4" t="n">
        <v>1236.07</v>
      </c>
    </row>
    <row r="12" customFormat="false" ht="15" hidden="false" customHeight="false" outlineLevel="0" collapsed="false">
      <c r="A12" s="2" t="n">
        <v>46134</v>
      </c>
      <c r="B12" s="3" t="s">
        <v>25</v>
      </c>
      <c r="C12" s="3" t="s">
        <v>10</v>
      </c>
      <c r="D12" s="3" t="s">
        <v>8</v>
      </c>
      <c r="E12" s="4" t="n">
        <v>-38.75</v>
      </c>
      <c r="F12" s="4" t="n">
        <v>1298.87</v>
      </c>
    </row>
    <row r="13" customFormat="false" ht="15" hidden="false" customHeight="false" outlineLevel="0" collapsed="false">
      <c r="A13" s="2" t="n">
        <v>46133</v>
      </c>
      <c r="B13" s="3" t="s">
        <v>26</v>
      </c>
      <c r="C13" s="3" t="s">
        <v>14</v>
      </c>
      <c r="D13" s="3" t="s">
        <v>27</v>
      </c>
      <c r="E13" s="4" t="n">
        <v>-45</v>
      </c>
      <c r="F13" s="4" t="n">
        <v>1337.62</v>
      </c>
    </row>
    <row r="14" customFormat="false" ht="15" hidden="false" customHeight="false" outlineLevel="0" collapsed="false">
      <c r="A14" s="2" t="n">
        <v>46132</v>
      </c>
      <c r="B14" s="3" t="s">
        <v>28</v>
      </c>
      <c r="C14" s="3" t="s">
        <v>29</v>
      </c>
      <c r="D14" s="3" t="s">
        <v>8</v>
      </c>
      <c r="E14" s="4" t="n">
        <v>-4.5</v>
      </c>
      <c r="F14" s="4" t="n">
        <v>1382.62</v>
      </c>
    </row>
    <row r="15" customFormat="false" ht="15" hidden="false" customHeight="false" outlineLevel="0" collapsed="false">
      <c r="A15" s="2" t="n">
        <v>46131</v>
      </c>
      <c r="B15" s="3" t="s">
        <v>30</v>
      </c>
      <c r="C15" s="3" t="s">
        <v>12</v>
      </c>
      <c r="D15" s="3" t="s">
        <v>8</v>
      </c>
      <c r="E15" s="4" t="n">
        <v>-32.1</v>
      </c>
      <c r="F15" s="4" t="n">
        <v>1387.12</v>
      </c>
    </row>
    <row r="16" customFormat="false" ht="15" hidden="false" customHeight="false" outlineLevel="0" collapsed="false">
      <c r="A16" s="2" t="n">
        <v>46130</v>
      </c>
      <c r="B16" s="3" t="s">
        <v>31</v>
      </c>
      <c r="C16" s="3" t="s">
        <v>7</v>
      </c>
      <c r="D16" s="3" t="s">
        <v>8</v>
      </c>
      <c r="E16" s="4" t="n">
        <v>-15.4</v>
      </c>
      <c r="F16" s="4" t="n">
        <v>1419.22</v>
      </c>
    </row>
    <row r="17" customFormat="false" ht="15" hidden="false" customHeight="false" outlineLevel="0" collapsed="false">
      <c r="A17" s="2" t="n">
        <v>46129</v>
      </c>
      <c r="B17" s="3" t="s">
        <v>9</v>
      </c>
      <c r="C17" s="3" t="s">
        <v>10</v>
      </c>
      <c r="D17" s="3" t="s">
        <v>8</v>
      </c>
      <c r="E17" s="4" t="n">
        <v>-71.6</v>
      </c>
      <c r="F17" s="4" t="n">
        <v>1434.62</v>
      </c>
    </row>
    <row r="18" customFormat="false" ht="15" hidden="false" customHeight="false" outlineLevel="0" collapsed="false">
      <c r="A18" s="2" t="n">
        <v>46129</v>
      </c>
      <c r="B18" s="3" t="s">
        <v>32</v>
      </c>
      <c r="C18" s="3" t="s">
        <v>33</v>
      </c>
      <c r="D18" s="3" t="s">
        <v>8</v>
      </c>
      <c r="E18" s="4" t="n">
        <v>-8.45</v>
      </c>
      <c r="F18" s="4" t="n">
        <v>1506.22</v>
      </c>
    </row>
    <row r="19" customFormat="false" ht="15" hidden="false" customHeight="false" outlineLevel="0" collapsed="false">
      <c r="A19" s="2" t="n">
        <v>46128</v>
      </c>
      <c r="B19" s="3" t="s">
        <v>34</v>
      </c>
      <c r="C19" s="3" t="s">
        <v>7</v>
      </c>
      <c r="D19" s="3" t="s">
        <v>8</v>
      </c>
      <c r="E19" s="4" t="n">
        <v>-14</v>
      </c>
      <c r="F19" s="4" t="n">
        <v>1514.67</v>
      </c>
    </row>
    <row r="20" customFormat="false" ht="15" hidden="false" customHeight="false" outlineLevel="0" collapsed="false">
      <c r="A20" s="2" t="n">
        <v>46128</v>
      </c>
      <c r="B20" s="3" t="s">
        <v>35</v>
      </c>
      <c r="C20" s="3" t="s">
        <v>29</v>
      </c>
      <c r="D20" s="3" t="s">
        <v>8</v>
      </c>
      <c r="E20" s="4" t="n">
        <v>-16.97</v>
      </c>
      <c r="F20" s="4" t="n">
        <v>1528.67</v>
      </c>
    </row>
    <row r="21" customFormat="false" ht="15" hidden="false" customHeight="false" outlineLevel="0" collapsed="false">
      <c r="A21" s="2" t="n">
        <v>46127</v>
      </c>
      <c r="B21" s="3" t="s">
        <v>36</v>
      </c>
      <c r="C21" s="3" t="s">
        <v>37</v>
      </c>
      <c r="D21" s="3" t="s">
        <v>27</v>
      </c>
      <c r="E21" s="4" t="n">
        <v>-750</v>
      </c>
      <c r="F21" s="4" t="n">
        <v>1545.64</v>
      </c>
    </row>
    <row r="22" customFormat="false" ht="15" hidden="false" customHeight="false" outlineLevel="0" collapsed="false">
      <c r="A22" s="2" t="n">
        <v>46126</v>
      </c>
      <c r="B22" s="3" t="s">
        <v>38</v>
      </c>
      <c r="C22" s="3" t="s">
        <v>10</v>
      </c>
      <c r="D22" s="3" t="s">
        <v>8</v>
      </c>
      <c r="E22" s="4" t="n">
        <v>-34.8</v>
      </c>
      <c r="F22" s="4" t="n">
        <v>2295.64</v>
      </c>
    </row>
    <row r="23" customFormat="false" ht="15" hidden="false" customHeight="false" outlineLevel="0" collapsed="false">
      <c r="A23" s="2" t="n">
        <v>46126</v>
      </c>
      <c r="B23" s="3" t="s">
        <v>39</v>
      </c>
      <c r="C23" s="3" t="s">
        <v>10</v>
      </c>
      <c r="D23" s="3" t="s">
        <v>8</v>
      </c>
      <c r="E23" s="4" t="n">
        <v>-22.15</v>
      </c>
      <c r="F23" s="4" t="n">
        <v>2330.44</v>
      </c>
    </row>
    <row r="24" customFormat="false" ht="15" hidden="false" customHeight="false" outlineLevel="0" collapsed="false">
      <c r="A24" s="2" t="n">
        <v>46125</v>
      </c>
      <c r="B24" s="3" t="s">
        <v>40</v>
      </c>
      <c r="C24" s="3" t="s">
        <v>24</v>
      </c>
      <c r="D24" s="3" t="s">
        <v>8</v>
      </c>
      <c r="E24" s="4" t="n">
        <v>-58.7</v>
      </c>
      <c r="F24" s="4" t="n">
        <v>2352.59</v>
      </c>
    </row>
    <row r="25" customFormat="false" ht="15" hidden="false" customHeight="false" outlineLevel="0" collapsed="false">
      <c r="A25" s="2" t="n">
        <v>46124</v>
      </c>
      <c r="B25" s="3" t="s">
        <v>41</v>
      </c>
      <c r="C25" s="3" t="s">
        <v>17</v>
      </c>
      <c r="D25" s="3" t="s">
        <v>18</v>
      </c>
      <c r="E25" s="4" t="n">
        <v>-39</v>
      </c>
      <c r="F25" s="4" t="n">
        <v>2411.29</v>
      </c>
    </row>
    <row r="26" customFormat="false" ht="15" hidden="false" customHeight="false" outlineLevel="0" collapsed="false">
      <c r="A26" s="2" t="n">
        <v>46123</v>
      </c>
      <c r="B26" s="3" t="s">
        <v>42</v>
      </c>
      <c r="C26" s="3" t="s">
        <v>33</v>
      </c>
      <c r="D26" s="3" t="s">
        <v>8</v>
      </c>
      <c r="E26" s="4" t="n">
        <v>-21.95</v>
      </c>
      <c r="F26" s="4" t="n">
        <v>2450.29</v>
      </c>
    </row>
    <row r="27" customFormat="false" ht="15" hidden="false" customHeight="false" outlineLevel="0" collapsed="false">
      <c r="A27" s="2" t="n">
        <v>46122</v>
      </c>
      <c r="B27" s="3" t="s">
        <v>43</v>
      </c>
      <c r="C27" s="3" t="s">
        <v>7</v>
      </c>
      <c r="D27" s="3" t="s">
        <v>8</v>
      </c>
      <c r="E27" s="4" t="n">
        <v>-4.2</v>
      </c>
      <c r="F27" s="4" t="n">
        <v>2472.24</v>
      </c>
    </row>
    <row r="28" customFormat="false" ht="15" hidden="false" customHeight="false" outlineLevel="0" collapsed="false">
      <c r="A28" s="2" t="n">
        <v>46122</v>
      </c>
      <c r="B28" s="3" t="s">
        <v>44</v>
      </c>
      <c r="C28" s="3" t="s">
        <v>10</v>
      </c>
      <c r="D28" s="3" t="s">
        <v>8</v>
      </c>
      <c r="E28" s="4" t="n">
        <v>-53.21</v>
      </c>
      <c r="F28" s="4" t="n">
        <v>2476.44</v>
      </c>
    </row>
    <row r="29" customFormat="false" ht="15" hidden="false" customHeight="false" outlineLevel="0" collapsed="false">
      <c r="A29" s="2" t="n">
        <v>46121</v>
      </c>
      <c r="B29" s="3" t="s">
        <v>45</v>
      </c>
      <c r="C29" s="3" t="s">
        <v>12</v>
      </c>
      <c r="D29" s="3" t="s">
        <v>8</v>
      </c>
      <c r="E29" s="4" t="n">
        <v>-78.45</v>
      </c>
      <c r="F29" s="4" t="n">
        <v>2529.65</v>
      </c>
    </row>
    <row r="30" customFormat="false" ht="15" hidden="false" customHeight="false" outlineLevel="0" collapsed="false">
      <c r="A30" s="2" t="n">
        <v>46120</v>
      </c>
      <c r="B30" s="3" t="s">
        <v>46</v>
      </c>
      <c r="C30" s="3" t="s">
        <v>47</v>
      </c>
      <c r="D30" s="3" t="s">
        <v>8</v>
      </c>
      <c r="E30" s="4" t="n">
        <v>-29.99</v>
      </c>
      <c r="F30" s="4" t="n">
        <v>2608.1</v>
      </c>
    </row>
    <row r="31" customFormat="false" ht="15" hidden="false" customHeight="false" outlineLevel="0" collapsed="false">
      <c r="A31" s="2" t="n">
        <v>46119</v>
      </c>
      <c r="B31" s="3" t="s">
        <v>6</v>
      </c>
      <c r="C31" s="3" t="s">
        <v>7</v>
      </c>
      <c r="D31" s="3" t="s">
        <v>8</v>
      </c>
      <c r="E31" s="4" t="n">
        <v>-3.5</v>
      </c>
      <c r="F31" s="4" t="n">
        <v>2638.09</v>
      </c>
    </row>
    <row r="32" customFormat="false" ht="15" hidden="false" customHeight="false" outlineLevel="0" collapsed="false">
      <c r="A32" s="2" t="n">
        <v>46119</v>
      </c>
      <c r="B32" s="3" t="s">
        <v>9</v>
      </c>
      <c r="C32" s="3" t="s">
        <v>10</v>
      </c>
      <c r="D32" s="3" t="s">
        <v>8</v>
      </c>
      <c r="E32" s="4" t="n">
        <v>-42.1</v>
      </c>
      <c r="F32" s="4" t="n">
        <v>2641.59</v>
      </c>
    </row>
    <row r="33" customFormat="false" ht="15" hidden="false" customHeight="false" outlineLevel="0" collapsed="false">
      <c r="A33" s="2" t="n">
        <v>46118</v>
      </c>
      <c r="B33" s="3" t="s">
        <v>48</v>
      </c>
      <c r="C33" s="3" t="s">
        <v>17</v>
      </c>
      <c r="D33" s="3" t="s">
        <v>18</v>
      </c>
      <c r="E33" s="4" t="n">
        <v>-15.99</v>
      </c>
      <c r="F33" s="4" t="n">
        <v>2683.69</v>
      </c>
    </row>
    <row r="34" customFormat="false" ht="15" hidden="false" customHeight="false" outlineLevel="0" collapsed="false">
      <c r="A34" s="2" t="n">
        <v>46117</v>
      </c>
      <c r="B34" s="3" t="s">
        <v>49</v>
      </c>
      <c r="C34" s="3" t="s">
        <v>50</v>
      </c>
      <c r="D34" s="3" t="s">
        <v>8</v>
      </c>
      <c r="E34" s="4" t="n">
        <v>-12.8</v>
      </c>
      <c r="F34" s="4" t="n">
        <v>2699.68</v>
      </c>
    </row>
    <row r="35" customFormat="false" ht="15" hidden="false" customHeight="false" outlineLevel="0" collapsed="false">
      <c r="A35" s="2" t="n">
        <v>46116</v>
      </c>
      <c r="B35" s="3" t="s">
        <v>51</v>
      </c>
      <c r="C35" s="3" t="s">
        <v>14</v>
      </c>
      <c r="D35" s="3" t="s">
        <v>27</v>
      </c>
      <c r="E35" s="4" t="n">
        <v>-32</v>
      </c>
      <c r="F35" s="4" t="n">
        <v>2712.48</v>
      </c>
    </row>
    <row r="36" customFormat="false" ht="15" hidden="false" customHeight="false" outlineLevel="0" collapsed="false">
      <c r="A36" s="2" t="n">
        <v>46116</v>
      </c>
      <c r="B36" s="3" t="s">
        <v>52</v>
      </c>
      <c r="C36" s="3" t="s">
        <v>7</v>
      </c>
      <c r="D36" s="3" t="s">
        <v>8</v>
      </c>
      <c r="E36" s="4" t="n">
        <v>-23.5</v>
      </c>
      <c r="F36" s="4" t="n">
        <v>2744.48</v>
      </c>
    </row>
    <row r="37" customFormat="false" ht="15" hidden="false" customHeight="false" outlineLevel="0" collapsed="false">
      <c r="A37" s="2" t="n">
        <v>46115</v>
      </c>
      <c r="B37" s="3" t="s">
        <v>53</v>
      </c>
      <c r="C37" s="3" t="s">
        <v>20</v>
      </c>
      <c r="D37" s="3" t="s">
        <v>8</v>
      </c>
      <c r="E37" s="4" t="n">
        <v>-18.5</v>
      </c>
      <c r="F37" s="4" t="n">
        <v>2767.98</v>
      </c>
    </row>
    <row r="38" customFormat="false" ht="15" hidden="false" customHeight="false" outlineLevel="0" collapsed="false">
      <c r="A38" s="2" t="n">
        <v>46115</v>
      </c>
      <c r="B38" s="3" t="s">
        <v>54</v>
      </c>
      <c r="C38" s="3" t="s">
        <v>24</v>
      </c>
      <c r="D38" s="3" t="s">
        <v>8</v>
      </c>
      <c r="E38" s="4" t="n">
        <v>-65.2</v>
      </c>
      <c r="F38" s="4" t="n">
        <v>2786.48</v>
      </c>
    </row>
    <row r="39" customFormat="false" ht="15" hidden="false" customHeight="false" outlineLevel="0" collapsed="false">
      <c r="A39" s="2" t="n">
        <v>46114</v>
      </c>
      <c r="B39" s="3" t="s">
        <v>9</v>
      </c>
      <c r="C39" s="3" t="s">
        <v>10</v>
      </c>
      <c r="D39" s="3" t="s">
        <v>8</v>
      </c>
      <c r="E39" s="4" t="n">
        <v>-87.43</v>
      </c>
      <c r="F39" s="4" t="n">
        <v>2851.68</v>
      </c>
    </row>
    <row r="40" customFormat="false" ht="15" hidden="false" customHeight="false" outlineLevel="0" collapsed="false">
      <c r="A40" s="2" t="n">
        <v>46114</v>
      </c>
      <c r="B40" s="3" t="s">
        <v>55</v>
      </c>
      <c r="C40" s="3" t="s">
        <v>33</v>
      </c>
      <c r="D40" s="3" t="s">
        <v>56</v>
      </c>
      <c r="E40" s="4" t="n">
        <v>2150</v>
      </c>
      <c r="F40" s="4" t="n">
        <v>2939.11</v>
      </c>
    </row>
    <row r="41" customFormat="false" ht="15" hidden="false" customHeight="false" outlineLevel="0" collapsed="false">
      <c r="A41" s="2" t="n">
        <v>46113</v>
      </c>
      <c r="B41" s="3" t="s">
        <v>57</v>
      </c>
      <c r="C41" s="3" t="s">
        <v>17</v>
      </c>
      <c r="D41" s="3" t="s">
        <v>18</v>
      </c>
      <c r="E41" s="4" t="n">
        <v>-49.9</v>
      </c>
      <c r="F41" s="4" t="n">
        <v>789.11</v>
      </c>
    </row>
    <row r="42" customFormat="false" ht="15" hidden="false" customHeight="false" outlineLevel="0" collapsed="false">
      <c r="A42" s="2" t="n">
        <v>46113</v>
      </c>
      <c r="B42" s="3" t="s">
        <v>58</v>
      </c>
      <c r="C42" s="3" t="s">
        <v>17</v>
      </c>
      <c r="D42" s="3" t="s">
        <v>18</v>
      </c>
      <c r="E42" s="4" t="n">
        <v>-10.99</v>
      </c>
      <c r="F42" s="4" t="n">
        <v>839.01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4" min="2" style="0" width="16"/>
    <col collapsed="false" customWidth="true" hidden="false" outlineLevel="0" max="5" min="5" style="0" width="18"/>
  </cols>
  <sheetData>
    <row r="1" customFormat="false" ht="17.35" hidden="false" customHeight="false" outlineLevel="0" collapsed="false">
      <c r="A1" s="5" t="s">
        <v>59</v>
      </c>
      <c r="B1" s="5"/>
      <c r="C1" s="5"/>
      <c r="D1" s="5"/>
      <c r="E1" s="5"/>
    </row>
    <row r="3" customFormat="false" ht="21.75" hidden="false" customHeight="true" outlineLevel="0" collapsed="false">
      <c r="A3" s="1" t="s">
        <v>2</v>
      </c>
      <c r="B3" s="1" t="s">
        <v>60</v>
      </c>
      <c r="C3" s="1" t="s">
        <v>61</v>
      </c>
      <c r="D3" s="1" t="s">
        <v>62</v>
      </c>
      <c r="E3" s="1" t="s">
        <v>63</v>
      </c>
    </row>
    <row r="4" customFormat="false" ht="15" hidden="false" customHeight="false" outlineLevel="0" collapsed="false">
      <c r="A4" s="3" t="s">
        <v>37</v>
      </c>
      <c r="B4" s="6" t="n">
        <f aca="false">-SUMIFS(Movimientos!$E$2:$E$42,Movimientos!$C$2:$C$42,A4,Movimientos!$E$2:$E$42,"&lt;0")</f>
        <v>750</v>
      </c>
      <c r="C4" s="7" t="n">
        <f aca="false">COUNTIFS(Movimientos!$C$2:$C$42,A4,Movimientos!$E$2:$E$42,"&lt;0")</f>
        <v>1</v>
      </c>
      <c r="D4" s="6" t="n">
        <f aca="false">IFERROR(B4/C4,0)</f>
        <v>750</v>
      </c>
      <c r="E4" s="8" t="n">
        <f aca="false">IFERROR(B4/$B$16,0)</f>
        <v>0.354107648725212</v>
      </c>
    </row>
    <row r="5" customFormat="false" ht="15" hidden="false" customHeight="false" outlineLevel="0" collapsed="false">
      <c r="A5" s="3" t="s">
        <v>10</v>
      </c>
      <c r="B5" s="6" t="n">
        <f aca="false">-SUMIFS(Movimientos!$E$2:$E$42,Movimientos!$C$2:$C$42,A5,Movimientos!$E$2:$E$42,"&lt;0")</f>
        <v>469.54</v>
      </c>
      <c r="C5" s="7" t="n">
        <f aca="false">COUNTIFS(Movimientos!$C$2:$C$42,A5,Movimientos!$E$2:$E$42,"&lt;0")</f>
        <v>9</v>
      </c>
      <c r="D5" s="6" t="n">
        <f aca="false">IFERROR(B5/C5,0)</f>
        <v>52.1711111111111</v>
      </c>
      <c r="E5" s="8" t="n">
        <f aca="false">IFERROR(B5/$B$16,0)</f>
        <v>0.221690273843248</v>
      </c>
    </row>
    <row r="6" customFormat="false" ht="15" hidden="false" customHeight="false" outlineLevel="0" collapsed="false">
      <c r="A6" s="3" t="s">
        <v>24</v>
      </c>
      <c r="B6" s="6" t="n">
        <f aca="false">-SUMIFS(Movimientos!$E$2:$E$42,Movimientos!$C$2:$C$42,A6,Movimientos!$E$2:$E$42,"&lt;0")</f>
        <v>186.7</v>
      </c>
      <c r="C6" s="7" t="n">
        <f aca="false">COUNTIFS(Movimientos!$C$2:$C$42,A6,Movimientos!$E$2:$E$42,"&lt;0")</f>
        <v>3</v>
      </c>
      <c r="D6" s="6" t="n">
        <f aca="false">IFERROR(B6/C6,0)</f>
        <v>62.2333333333333</v>
      </c>
      <c r="E6" s="8" t="n">
        <f aca="false">IFERROR(B6/$B$16,0)</f>
        <v>0.0881491973559962</v>
      </c>
    </row>
    <row r="7" customFormat="false" ht="15" hidden="false" customHeight="false" outlineLevel="0" collapsed="false">
      <c r="A7" s="3" t="s">
        <v>12</v>
      </c>
      <c r="B7" s="6" t="n">
        <f aca="false">-SUMIFS(Movimientos!$E$2:$E$42,Movimientos!$C$2:$C$42,A7,Movimientos!$E$2:$E$42,"&lt;0")</f>
        <v>160.45</v>
      </c>
      <c r="C7" s="7" t="n">
        <f aca="false">COUNTIFS(Movimientos!$C$2:$C$42,A7,Movimientos!$E$2:$E$42,"&lt;0")</f>
        <v>3</v>
      </c>
      <c r="D7" s="6" t="n">
        <f aca="false">IFERROR(B7/C7,0)</f>
        <v>53.4833333333333</v>
      </c>
      <c r="E7" s="8" t="n">
        <f aca="false">IFERROR(B7/$B$16,0)</f>
        <v>0.0757554296506138</v>
      </c>
    </row>
    <row r="8" customFormat="false" ht="15" hidden="false" customHeight="false" outlineLevel="0" collapsed="false">
      <c r="A8" s="3" t="s">
        <v>7</v>
      </c>
      <c r="B8" s="6" t="n">
        <f aca="false">-SUMIFS(Movimientos!$E$2:$E$42,Movimientos!$C$2:$C$42,A8,Movimientos!$E$2:$E$42,"&lt;0")</f>
        <v>153.3</v>
      </c>
      <c r="C8" s="7" t="n">
        <f aca="false">COUNTIFS(Movimientos!$C$2:$C$42,A8,Movimientos!$E$2:$E$42,"&lt;0")</f>
        <v>7</v>
      </c>
      <c r="D8" s="6" t="n">
        <f aca="false">IFERROR(B8/C8,0)</f>
        <v>21.9</v>
      </c>
      <c r="E8" s="8" t="n">
        <f aca="false">IFERROR(B8/$B$16,0)</f>
        <v>0.0723796033994334</v>
      </c>
    </row>
    <row r="9" customFormat="false" ht="15" hidden="false" customHeight="false" outlineLevel="0" collapsed="false">
      <c r="A9" s="3" t="s">
        <v>17</v>
      </c>
      <c r="B9" s="6" t="n">
        <f aca="false">-SUMIFS(Movimientos!$E$2:$E$42,Movimientos!$C$2:$C$42,A9,Movimientos!$E$2:$E$42,"&lt;0")</f>
        <v>127.86</v>
      </c>
      <c r="C9" s="7" t="n">
        <f aca="false">COUNTIFS(Movimientos!$C$2:$C$42,A9,Movimientos!$E$2:$E$42,"&lt;0")</f>
        <v>6</v>
      </c>
      <c r="D9" s="6" t="n">
        <f aca="false">IFERROR(B9/C9,0)</f>
        <v>21.31</v>
      </c>
      <c r="E9" s="8" t="n">
        <f aca="false">IFERROR(B9/$B$16,0)</f>
        <v>0.0603682719546742</v>
      </c>
    </row>
    <row r="10" customFormat="false" ht="15" hidden="false" customHeight="false" outlineLevel="0" collapsed="false">
      <c r="A10" s="3" t="s">
        <v>20</v>
      </c>
      <c r="B10" s="6" t="n">
        <f aca="false">-SUMIFS(Movimientos!$E$2:$E$42,Movimientos!$C$2:$C$42,A10,Movimientos!$E$2:$E$42,"&lt;0")</f>
        <v>98.49</v>
      </c>
      <c r="C10" s="7" t="n">
        <f aca="false">COUNTIFS(Movimientos!$C$2:$C$42,A10,Movimientos!$E$2:$E$42,"&lt;0")</f>
        <v>2</v>
      </c>
      <c r="D10" s="6" t="n">
        <f aca="false">IFERROR(B10/C10,0)</f>
        <v>49.245</v>
      </c>
      <c r="E10" s="8" t="n">
        <f aca="false">IFERROR(B10/$B$16,0)</f>
        <v>0.0465014164305949</v>
      </c>
    </row>
    <row r="11" customFormat="false" ht="15" hidden="false" customHeight="false" outlineLevel="0" collapsed="false">
      <c r="A11" s="3" t="s">
        <v>14</v>
      </c>
      <c r="B11" s="6" t="n">
        <f aca="false">-SUMIFS(Movimientos!$E$2:$E$42,Movimientos!$C$2:$C$42,A11,Movimientos!$E$2:$E$42,"&lt;0")</f>
        <v>77</v>
      </c>
      <c r="C11" s="7" t="n">
        <f aca="false">COUNTIFS(Movimientos!$C$2:$C$42,A11,Movimientos!$E$2:$E$42,"&lt;0")</f>
        <v>2</v>
      </c>
      <c r="D11" s="6" t="n">
        <f aca="false">IFERROR(B11/C11,0)</f>
        <v>38.5</v>
      </c>
      <c r="E11" s="8" t="n">
        <f aca="false">IFERROR(B11/$B$16,0)</f>
        <v>0.0363550519357885</v>
      </c>
    </row>
    <row r="12" customFormat="false" ht="15" hidden="false" customHeight="false" outlineLevel="0" collapsed="false">
      <c r="A12" s="3" t="s">
        <v>33</v>
      </c>
      <c r="B12" s="6" t="n">
        <f aca="false">-SUMIFS(Movimientos!$E$2:$E$42,Movimientos!$C$2:$C$42,A12,Movimientos!$E$2:$E$42,"&lt;0")</f>
        <v>30.4</v>
      </c>
      <c r="C12" s="7" t="n">
        <f aca="false">COUNTIFS(Movimientos!$C$2:$C$42,A12,Movimientos!$E$2:$E$42,"&lt;0")</f>
        <v>2</v>
      </c>
      <c r="D12" s="6" t="n">
        <f aca="false">IFERROR(B12/C12,0)</f>
        <v>15.2</v>
      </c>
      <c r="E12" s="8" t="n">
        <f aca="false">IFERROR(B12/$B$16,0)</f>
        <v>0.0143531633616619</v>
      </c>
    </row>
    <row r="13" customFormat="false" ht="15" hidden="false" customHeight="false" outlineLevel="0" collapsed="false">
      <c r="A13" s="3" t="s">
        <v>47</v>
      </c>
      <c r="B13" s="6" t="n">
        <f aca="false">-SUMIFS(Movimientos!$E$2:$E$42,Movimientos!$C$2:$C$42,A13,Movimientos!$E$2:$E$42,"&lt;0")</f>
        <v>29.99</v>
      </c>
      <c r="C13" s="7" t="n">
        <f aca="false">COUNTIFS(Movimientos!$C$2:$C$42,A13,Movimientos!$E$2:$E$42,"&lt;0")</f>
        <v>1</v>
      </c>
      <c r="D13" s="6" t="n">
        <f aca="false">IFERROR(B13/C13,0)</f>
        <v>29.99</v>
      </c>
      <c r="E13" s="8" t="n">
        <f aca="false">IFERROR(B13/$B$16,0)</f>
        <v>0.0141595845136922</v>
      </c>
    </row>
    <row r="14" customFormat="false" ht="15" hidden="false" customHeight="false" outlineLevel="0" collapsed="false">
      <c r="A14" s="3" t="s">
        <v>29</v>
      </c>
      <c r="B14" s="6" t="n">
        <f aca="false">-SUMIFS(Movimientos!$E$2:$E$42,Movimientos!$C$2:$C$42,A14,Movimientos!$E$2:$E$42,"&lt;0")</f>
        <v>21.47</v>
      </c>
      <c r="C14" s="7" t="n">
        <f aca="false">COUNTIFS(Movimientos!$C$2:$C$42,A14,Movimientos!$E$2:$E$42,"&lt;0")</f>
        <v>2</v>
      </c>
      <c r="D14" s="6" t="n">
        <f aca="false">IFERROR(B14/C14,0)</f>
        <v>10.735</v>
      </c>
      <c r="E14" s="8" t="n">
        <f aca="false">IFERROR(B14/$B$16,0)</f>
        <v>0.0101369216241737</v>
      </c>
    </row>
    <row r="15" customFormat="false" ht="15" hidden="false" customHeight="false" outlineLevel="0" collapsed="false">
      <c r="A15" s="3" t="s">
        <v>50</v>
      </c>
      <c r="B15" s="6" t="n">
        <f aca="false">-SUMIFS(Movimientos!$E$2:$E$42,Movimientos!$C$2:$C$42,A15,Movimientos!$E$2:$E$42,"&lt;0")</f>
        <v>12.8</v>
      </c>
      <c r="C15" s="7" t="n">
        <f aca="false">COUNTIFS(Movimientos!$C$2:$C$42,A15,Movimientos!$E$2:$E$42,"&lt;0")</f>
        <v>1</v>
      </c>
      <c r="D15" s="6" t="n">
        <f aca="false">IFERROR(B15/C15,0)</f>
        <v>12.8</v>
      </c>
      <c r="E15" s="8" t="n">
        <f aca="false">IFERROR(B15/$B$16,0)</f>
        <v>0.00604343720491029</v>
      </c>
    </row>
    <row r="16" customFormat="false" ht="15" hidden="false" customHeight="false" outlineLevel="0" collapsed="false">
      <c r="A16" s="9" t="s">
        <v>64</v>
      </c>
      <c r="B16" s="10" t="n">
        <f aca="false">SUM(B4:B15)</f>
        <v>2118</v>
      </c>
      <c r="C16" s="11" t="n">
        <f aca="false">SUM(C4:C15)</f>
        <v>39</v>
      </c>
      <c r="D16" s="10" t="n">
        <f aca="false">IFERROR(B16/C16,0)</f>
        <v>54.3076923076923</v>
      </c>
      <c r="E16" s="12" t="n">
        <f aca="false">SUM(E4:E15)</f>
        <v>1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8"/>
  </cols>
  <sheetData>
    <row r="1" customFormat="false" ht="17.35" hidden="false" customHeight="false" outlineLevel="0" collapsed="false">
      <c r="A1" s="5" t="s">
        <v>65</v>
      </c>
      <c r="B1" s="5"/>
    </row>
    <row r="3" customFormat="false" ht="15" hidden="false" customHeight="false" outlineLevel="0" collapsed="false">
      <c r="A3" s="13" t="s">
        <v>66</v>
      </c>
      <c r="B3" s="14" t="n">
        <f aca="false">SUMIF(Movimientos!$E$2:$E$42,"&gt;0")</f>
        <v>2250</v>
      </c>
    </row>
    <row r="4" customFormat="false" ht="15" hidden="false" customHeight="false" outlineLevel="0" collapsed="false">
      <c r="A4" s="13" t="s">
        <v>67</v>
      </c>
      <c r="B4" s="14" t="n">
        <f aca="false">-SUMIF(Movimientos!$E$2:$E$42,"&lt;0")</f>
        <v>2118</v>
      </c>
    </row>
    <row r="5" customFormat="false" ht="15" hidden="false" customHeight="false" outlineLevel="0" collapsed="false">
      <c r="A5" s="15" t="s">
        <v>68</v>
      </c>
      <c r="B5" s="16" t="n">
        <f aca="false">B3-B4</f>
        <v>132</v>
      </c>
    </row>
    <row r="6" customFormat="false" ht="15" hidden="false" customHeight="false" outlineLevel="0" collapsed="false">
      <c r="A6" s="15" t="s">
        <v>69</v>
      </c>
      <c r="B6" s="17" t="n">
        <f aca="false">IFERROR(B5/B3,0)</f>
        <v>0.0586666666666667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80"/>
  </cols>
  <sheetData>
    <row r="1" customFormat="false" ht="17.35" hidden="false" customHeight="false" outlineLevel="0" collapsed="false">
      <c r="A1" s="5" t="s">
        <v>70</v>
      </c>
      <c r="B1" s="5"/>
    </row>
    <row r="3" customFormat="false" ht="15" hidden="false" customHeight="false" outlineLevel="0" collapsed="false">
      <c r="A3" s="18" t="s">
        <v>71</v>
      </c>
      <c r="B3" s="19" t="str">
        <f aca="false">INDEX('Resumen por categoría'!$A$4:$A$15,MATCH(MAX('Resumen por categoría'!$B$4:$B$15),'Resumen por categoría'!$B$4:$B$15,0))</f>
        <v>Alquiler</v>
      </c>
    </row>
    <row r="4" customFormat="false" ht="15" hidden="false" customHeight="false" outlineLevel="0" collapsed="false">
      <c r="A4" s="20" t="s">
        <v>72</v>
      </c>
      <c r="B4" s="21" t="n">
        <f aca="false">MAX('Resumen por categoría'!$B$4:$B$15)</f>
        <v>750</v>
      </c>
    </row>
    <row r="5" customFormat="false" ht="15" hidden="false" customHeight="false" outlineLevel="0" collapsed="false">
      <c r="A5" s="20" t="s">
        <v>73</v>
      </c>
      <c r="B5" s="22" t="n">
        <f aca="false">B4/'Ingresos vs Gastos'!B4</f>
        <v>0.354107648725212</v>
      </c>
    </row>
    <row r="6" customFormat="false" ht="15" hidden="false" customHeight="false" outlineLevel="0" collapsed="false">
      <c r="A6" s="20"/>
      <c r="B6" s="23"/>
    </row>
    <row r="7" customFormat="false" ht="75" hidden="false" customHeight="true" outlineLevel="0" collapsed="false">
      <c r="A7" s="18" t="s">
        <v>74</v>
      </c>
      <c r="B7" s="24" t="str">
        <f aca="false">"Donde más dinero se va este mes es a "&amp;B3&amp;" ("&amp;TEXT(B4,"#,##0.00 €")&amp;", un "&amp;TEXT(B5,"0.0%")&amp;" del gasto total). Es un gasto fijo difícil de tocar."</f>
        <v>Donde más dinero se va este mes es a Alquiler (750.00 €, un 35.4% del gasto total). Es un gasto fijo difícil de tocar.</v>
      </c>
    </row>
    <row r="8" customFormat="false" ht="15" hidden="false" customHeight="false" outlineLevel="0" collapsed="false">
      <c r="A8" s="20"/>
      <c r="B8" s="23"/>
    </row>
    <row r="9" customFormat="false" ht="75" hidden="false" customHeight="true" outlineLevel="0" collapsed="false">
      <c r="A9" s="18" t="s">
        <v>75</v>
      </c>
      <c r="B9" s="24" t="str">
        <f aca="false">"Tienes "&amp;B11&amp;" suscripciones activas que suman "&amp;TEXT(B12,"#,##0.00 €")&amp;"/mes. La vía menos dolorosa es revisar solapes (p. ej. Amazon Prime ya incluye Prime Video, y entre Netflix y Disney+ probablemente sólo veas uno cada mes): cancelando 1-2 servicios recortas ~25-40 €/mes sin notarlo. Adicionalmente, "&amp;TEXT(B13,"#,##0.00 €")&amp;" en comida fuera; bajar una salida a la semana son ~25 €/mes extra ahorrados."</f>
        <v>Tienes 6 suscripciones activas que suman 127.86 €/mes. La vía menos dolorosa es revisar solapes (p. ej. Amazon Prime ya incluye Prime Video, y entre Netflix y Disney+ probablemente sólo veas uno cada mes): cancelando 1-2 servicios recortas ~25-40 €/mes sin notarlo. Adicionalmente, 153.30 € en comida fuera; bajar una salida a la semana son ~25 €/mes extra ahorrados.</v>
      </c>
    </row>
    <row r="10" customFormat="false" ht="15" hidden="false" customHeight="false" outlineLevel="0" collapsed="false">
      <c r="A10" s="20"/>
      <c r="B10" s="23"/>
    </row>
    <row r="11" customFormat="false" ht="15" hidden="false" customHeight="false" outlineLevel="0" collapsed="false">
      <c r="A11" s="20" t="s">
        <v>76</v>
      </c>
      <c r="B11" s="23" t="n">
        <f aca="false">COUNTIFS(Movimientos!$D$2:$D$42,"suscripción")</f>
        <v>6</v>
      </c>
    </row>
    <row r="12" customFormat="false" ht="15" hidden="false" customHeight="false" outlineLevel="0" collapsed="false">
      <c r="A12" s="20" t="s">
        <v>77</v>
      </c>
      <c r="B12" s="21" t="n">
        <f aca="false">-SUMIFS(Movimientos!$E$2:$E$42,Movimientos!$D$2:$D$42,"suscripción")</f>
        <v>127.86</v>
      </c>
    </row>
    <row r="13" customFormat="false" ht="15" hidden="false" customHeight="false" outlineLevel="0" collapsed="false">
      <c r="A13" s="20" t="s">
        <v>78</v>
      </c>
      <c r="B13" s="21" t="n">
        <f aca="false">-SUMIFS(Movimientos!$E$2:$E$42,Movimientos!$C$2:$C$42,"Comida fuera",Movimientos!$E$2:$E$42,"&lt;0")</f>
        <v>153.3</v>
      </c>
    </row>
    <row r="14" customFormat="false" ht="15" hidden="false" customHeight="false" outlineLevel="0" collapsed="false">
      <c r="A14" s="20"/>
      <c r="B14" s="23"/>
    </row>
    <row r="15" customFormat="false" ht="26.85" hidden="false" customHeight="false" outlineLevel="0" collapsed="false">
      <c r="A15" s="18" t="s">
        <v>79</v>
      </c>
      <c r="B15" s="23"/>
    </row>
    <row r="16" customFormat="false" ht="15" hidden="false" customHeight="false" outlineLevel="0" collapsed="false">
      <c r="A16" s="20" t="s">
        <v>80</v>
      </c>
      <c r="B16" s="21" t="n">
        <f aca="false">SUMIFS(Movimientos!$E$2:$E$42,Movimientos!$D$2:$D$42,"nómina")</f>
        <v>2150</v>
      </c>
    </row>
    <row r="17" customFormat="false" ht="15" hidden="false" customHeight="false" outlineLevel="0" collapsed="false">
      <c r="A17" s="20" t="s">
        <v>81</v>
      </c>
      <c r="B17" s="25" t="n">
        <f aca="false">'Ingresos vs Gastos'!B5</f>
        <v>132</v>
      </c>
    </row>
    <row r="18" customFormat="false" ht="15" hidden="false" customHeight="false" outlineLevel="0" collapsed="false">
      <c r="A18" s="20" t="s">
        <v>82</v>
      </c>
      <c r="B18" s="26" t="n">
        <f aca="false">B17*12</f>
        <v>1584</v>
      </c>
    </row>
    <row r="19" customFormat="false" ht="15" hidden="false" customHeight="false" outlineLevel="0" collapsed="false">
      <c r="A19" s="20" t="s">
        <v>83</v>
      </c>
      <c r="B19" s="21" t="n">
        <f aca="false">B16*0.2</f>
        <v>430</v>
      </c>
    </row>
    <row r="20" customFormat="false" ht="15" hidden="false" customHeight="false" outlineLevel="0" collapsed="false">
      <c r="A20" s="20" t="s">
        <v>84</v>
      </c>
      <c r="B20" s="21" t="n">
        <f aca="false">B19*12</f>
        <v>5160</v>
      </c>
    </row>
    <row r="21" customFormat="false" ht="15" hidden="false" customHeight="false" outlineLevel="0" collapsed="false">
      <c r="A21" s="20" t="s">
        <v>85</v>
      </c>
      <c r="B21" s="26" t="n">
        <f aca="false">B18-B20</f>
        <v>-3576</v>
      </c>
    </row>
    <row r="22" customFormat="false" ht="15" hidden="false" customHeight="false" outlineLevel="0" collapsed="false">
      <c r="A22" s="20" t="s">
        <v>86</v>
      </c>
      <c r="B22" s="27" t="n">
        <f aca="false">IFERROR(B17/B16,0)</f>
        <v>0.0613953488372093</v>
      </c>
    </row>
    <row r="23" customFormat="false" ht="15" hidden="false" customHeight="false" outlineLevel="0" collapsed="false">
      <c r="A23" s="20"/>
      <c r="B23" s="23"/>
    </row>
    <row r="24" customFormat="false" ht="75" hidden="false" customHeight="true" outlineLevel="0" collapsed="false">
      <c r="A24" s="18" t="s">
        <v>87</v>
      </c>
      <c r="B24" s="24" t="str">
        <f aca="false">"Estás ahorrando un "&amp;TEXT(B22,"0.0%")&amp;" de la nómina, frente al 20% objetivo. Si sigues el ritmo de abril todo el año, ahorrarás "&amp;TEXT(B18,"#,##0 €")&amp;" en 12 meses; el objetivo serían "&amp;TEXT(B20,"#,##0 €")&amp;", así que te quedarías a "&amp;TEXT(ABS(B21),"#,##0 €")&amp;" del objetivo. Aplicando el consejo de arriba (recortar suscripciones + 1 cena fuera/semana) recuperas ~50-65 €/mes, ~600-780 €/año, que acortan ese hueco a la mitad."</f>
        <v>Estás ahorrando un 6.1% de la nómina, frente al 20% objetivo. Si sigues el ritmo de abril todo el año, ahorrarás 1,584 € en 12 meses; el objetivo serían 5,160 €, así que te quedarías a 3,576 € del objetivo. Aplicando el consejo de arriba (recortar suscripciones + 1 cena fuera/semana) recuperas ~50-65 €/mes, ~600-780 €/año, que acortan ese hueco a la mitad.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2026-05-12T21:16:26Z</dcterms:created>
  <dc:creator>openpyxl</dc:creator>
  <dc:description/>
  <dc:language>en-US</dc:language>
  <cp:lastModifiedBy/>
  <dcterms:modified xsi:type="dcterms:W3CDTF">2026-05-12T21:16:33Z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